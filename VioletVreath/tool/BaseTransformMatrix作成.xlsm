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1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suge\workspace\_git_repo_my_main\VioletVreath\tool\"/>
    </mc:Choice>
  </mc:AlternateContent>
  <xr:revisionPtr revIDLastSave="0" documentId="13_ncr:1_{AB33F9FD-A6D3-4503-9952-E8D59F79E1B0}" xr6:coauthVersionLast="47" xr6:coauthVersionMax="47" xr10:uidLastSave="{00000000-0000-0000-0000-000000000000}"/>
  <bookViews>
    <workbookView xWindow="6510" yWindow="5025" windowWidth="17010" windowHeight="10575" xr2:uid="{00000000-000D-0000-FFFF-FFFF00000000}"/>
  </bookViews>
  <sheets>
    <sheet name="Sheet1" sheetId="1" r:id="rId1"/>
    <sheet name="Sheet2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2" i="1" l="1"/>
  <c r="B21" i="1"/>
  <c r="B20" i="1"/>
  <c r="B19" i="1"/>
  <c r="B18" i="1"/>
  <c r="B17" i="1"/>
</calcChain>
</file>

<file path=xl/sharedStrings.xml><?xml version="1.0" encoding="utf-8"?>
<sst xmlns="http://schemas.openxmlformats.org/spreadsheetml/2006/main" count="45" uniqueCount="36">
  <si>
    <t>Rx</t>
    <phoneticPr fontId="2"/>
  </si>
  <si>
    <t>Rz</t>
    <phoneticPr fontId="2"/>
  </si>
  <si>
    <t>Ry</t>
    <phoneticPr fontId="2"/>
  </si>
  <si>
    <t>Sx</t>
    <phoneticPr fontId="2"/>
  </si>
  <si>
    <t>Sy</t>
    <phoneticPr fontId="2"/>
  </si>
  <si>
    <t>Sz</t>
    <phoneticPr fontId="2"/>
  </si>
  <si>
    <t>dx</t>
    <phoneticPr fontId="2"/>
  </si>
  <si>
    <t>dy</t>
    <phoneticPr fontId="2"/>
  </si>
  <si>
    <t>dz</t>
    <phoneticPr fontId="2"/>
  </si>
  <si>
    <t>ScRxRyRzMv</t>
    <phoneticPr fontId="2"/>
  </si>
  <si>
    <t>Sx*cosRy*sinRz</t>
  </si>
  <si>
    <t>Sx*-sinRy</t>
  </si>
  <si>
    <t>0</t>
    <phoneticPr fontId="2"/>
  </si>
  <si>
    <t>(Sy*sinRx*sinRy*cosRz + Sy*cosRx*-sinRz)</t>
  </si>
  <si>
    <t>(Sy*sinRx*sinRy*sinRz + Sy*cosRx*cosRz)</t>
  </si>
  <si>
    <t>Sy*sinRx*cosRy</t>
  </si>
  <si>
    <t>(Sz*cosRx*sinRy*cosRz + Sz*-sinRx*-sinRz)</t>
  </si>
  <si>
    <t>(Sz*cosRx*sinRy*sinRz + Sz*-sinRx*cosRz)</t>
  </si>
  <si>
    <t>Sz*cosRx*cosRy</t>
  </si>
  <si>
    <t>1</t>
    <phoneticPr fontId="2"/>
  </si>
  <si>
    <t>sinRx</t>
    <phoneticPr fontId="1"/>
  </si>
  <si>
    <t>sinRz</t>
    <phoneticPr fontId="1"/>
  </si>
  <si>
    <t>sinRy</t>
    <phoneticPr fontId="1"/>
  </si>
  <si>
    <t>cosRx</t>
    <phoneticPr fontId="1"/>
  </si>
  <si>
    <t>cosRz</t>
    <phoneticPr fontId="1"/>
  </si>
  <si>
    <t>cosRy</t>
    <phoneticPr fontId="1"/>
  </si>
  <si>
    <t>π</t>
    <phoneticPr fontId="1"/>
  </si>
  <si>
    <t>度</t>
    <rPh sb="0" eb="1">
      <t>ド</t>
    </rPh>
    <phoneticPr fontId="1"/>
  </si>
  <si>
    <t>1*COS(90 * 3.1415926535 / 180)*COS(0 * 3.1415926535 / 180)</t>
    <phoneticPr fontId="1"/>
  </si>
  <si>
    <t>1*COS(0 * 3.1415926535 / 180)*SIN(0 * 3.1415926535 / 180)</t>
    <phoneticPr fontId="1"/>
  </si>
  <si>
    <t>1*-SIN(0 * 3.1415926535 / 180)</t>
    <phoneticPr fontId="1"/>
  </si>
  <si>
    <t>(1*SIN(90 * 3.1415926535 / 180)*SIN(0 * 3.1415926535 / 180)*COS(0 * 3.1415926535 / 180) + 1*COS(90 * 3.1415926535 / 180)*-SIN(0 * 3.1415926535 / 180))</t>
    <phoneticPr fontId="1"/>
  </si>
  <si>
    <t>(1*SIN(90 * 3.1415926535 / 180)*SIN(0 * 3.1415926535 / 180)*SIN(0 * 3.1415926535 / 180) + 1*COS(90 * 3.1415926535 / 180)*COS(0 * 3.1415926535 / 180))</t>
    <phoneticPr fontId="1"/>
  </si>
  <si>
    <t>1*SIN(90 * 3.1415926535 / 180)*COS(0 * 3.1415926535 / 180)</t>
    <phoneticPr fontId="1"/>
  </si>
  <si>
    <t>(1*COS(90 * 3.1415926535 / 180)*SIN(0 * 3.1415926535 / 180)*COS(0 * 3.1415926535 / 180) + 1*-SIN(90 * 3.1415926535 / 180)*-SIN(0 * 3.1415926535 / 180))</t>
    <phoneticPr fontId="1"/>
  </si>
  <si>
    <t>(1*COS(90 * 3.1415926535 / 180)*SIN(0 * 3.1415926535 / 180)*SIN(0 * 3.1415926535 / 180) + 1*-SIN(90 * 3.1415926535 / 180)*COS(0 * 3.1415926535 / 180))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</si>
</sst>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9" formatCode="0.000000_ 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6"/>
      <name val="ＭＳ Ｐゴシック"/>
      <family val="3"/>
      <charset val="128"/>
    </font>
    <font>
      <sz val="9"/>
      <name val="ＭＳ ゴシック"/>
      <family val="3"/>
      <charset val="128"/>
    </font>
    <font>
      <sz val="11"/>
      <color rgb="FF000000"/>
      <name val="游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0">
    <xf numFmtId="0" fontId="0" fillId="0" borderId="0" xfId="0">
      <alignment vertical="center"/>
    </xf>
    <xf numFmtId="0" fontId="0" fillId="0" borderId="0" xfId="0" applyAlignment="1"/>
    <xf numFmtId="49" fontId="3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0" fillId="0" borderId="1" xfId="0" applyBorder="1" applyAlignment="1"/>
    <xf numFmtId="0" fontId="0" fillId="0" borderId="1" xfId="0" applyBorder="1">
      <alignment vertical="center"/>
    </xf>
    <xf numFmtId="49" fontId="3" fillId="2" borderId="1" xfId="0" applyNumberFormat="1" applyFont="1" applyFill="1" applyBorder="1">
      <alignment vertical="center"/>
    </xf>
    <xf numFmtId="0" fontId="0" fillId="2" borderId="1" xfId="0" applyFill="1" applyBorder="1" applyAlignment="1"/>
    <xf numFmtId="0" fontId="0" fillId="2" borderId="1" xfId="0" applyFill="1" applyBorder="1">
      <alignment vertical="center"/>
    </xf>
    <xf numFmtId="179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571499</xdr:colOff>
          <xdr:row>7</xdr:row>
          <xdr:rowOff>76200</xdr:rowOff>
        </xdr:from>
        <xdr:to>
          <xdr:col>1</xdr:col>
          <xdr:colOff>533399</xdr:colOff>
          <xdr:row>9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ボタン 2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P29"/>
  <sheetViews>
    <sheetView tabSelected="1" workbookViewId="0">
      <selection activeCell="M12" sqref="M12"/>
    </sheetView>
  </sheetViews>
  <sheetFormatPr defaultRowHeight="18.75" x14ac:dyDescent="0.4"/>
  <cols>
    <col min="1" max="1" width="12.375" customWidth="1"/>
    <col min="5" max="12" width="3" customWidth="1"/>
    <col min="13" max="13" width="11.875" customWidth="1"/>
    <col min="14" max="16" width="11.25" customWidth="1"/>
  </cols>
  <sheetData>
    <row r="2" spans="1:16" x14ac:dyDescent="0.4">
      <c r="A2" s="2" t="s">
        <v>9</v>
      </c>
      <c r="B2" s="3"/>
    </row>
    <row r="3" spans="1:16" x14ac:dyDescent="0.4">
      <c r="A3" s="6" t="s">
        <v>18</v>
      </c>
      <c r="B3" s="6" t="s">
        <v>10</v>
      </c>
      <c r="C3" s="6" t="s">
        <v>11</v>
      </c>
      <c r="D3" s="6" t="s">
        <v>12</v>
      </c>
      <c r="G3" t="s">
        <v>28</v>
      </c>
      <c r="H3" t="s">
        <v>29</v>
      </c>
      <c r="I3" t="s">
        <v>30</v>
      </c>
      <c r="J3">
        <v>0</v>
      </c>
      <c r="M3" s="9">
        <v>4.4896592194844376E-11</v>
      </c>
      <c r="N3" s="9">
        <v>0</v>
      </c>
      <c r="O3" s="9">
        <v>0</v>
      </c>
      <c r="P3" s="9">
        <v>0</v>
      </c>
    </row>
    <row r="4" spans="1:16" x14ac:dyDescent="0.4">
      <c r="A4" s="6" t="s">
        <v>13</v>
      </c>
      <c r="B4" s="6" t="s">
        <v>14</v>
      </c>
      <c r="C4" s="6" t="s">
        <v>15</v>
      </c>
      <c r="D4" s="6" t="s">
        <v>12</v>
      </c>
      <c r="G4" t="s">
        <v>31</v>
      </c>
      <c r="H4" t="s">
        <v>32</v>
      </c>
      <c r="I4" t="s">
        <v>33</v>
      </c>
      <c r="J4">
        <v>0</v>
      </c>
      <c r="M4" s="9">
        <v>0</v>
      </c>
      <c r="N4" s="9">
        <v>4.4896592194844376E-11</v>
      </c>
      <c r="O4" s="9">
        <v>1</v>
      </c>
      <c r="P4" s="9">
        <v>0</v>
      </c>
    </row>
    <row r="5" spans="1:16" x14ac:dyDescent="0.4">
      <c r="A5" s="6" t="s">
        <v>16</v>
      </c>
      <c r="B5" s="6" t="s">
        <v>17</v>
      </c>
      <c r="C5" s="6" t="s">
        <v>18</v>
      </c>
      <c r="D5" s="6" t="s">
        <v>12</v>
      </c>
      <c r="G5" t="s">
        <v>34</v>
      </c>
      <c r="H5" t="s">
        <v>35</v>
      </c>
      <c r="I5" t="s">
        <v>28</v>
      </c>
      <c r="J5">
        <v>0</v>
      </c>
      <c r="M5" s="9">
        <v>0</v>
      </c>
      <c r="N5" s="9">
        <v>-1</v>
      </c>
      <c r="O5" s="9">
        <v>4.4896592194844376E-11</v>
      </c>
      <c r="P5" s="9">
        <v>0</v>
      </c>
    </row>
    <row r="6" spans="1:16" x14ac:dyDescent="0.4">
      <c r="A6" s="6" t="s">
        <v>6</v>
      </c>
      <c r="B6" s="6" t="s">
        <v>7</v>
      </c>
      <c r="C6" s="6" t="s">
        <v>8</v>
      </c>
      <c r="D6" s="6" t="s">
        <v>19</v>
      </c>
      <c r="G6">
        <v>0</v>
      </c>
      <c r="H6">
        <v>0</v>
      </c>
      <c r="I6">
        <v>0</v>
      </c>
      <c r="J6">
        <v>1</v>
      </c>
      <c r="M6" s="9">
        <v>0</v>
      </c>
      <c r="N6" s="9">
        <v>0</v>
      </c>
      <c r="O6" s="9">
        <v>0</v>
      </c>
      <c r="P6" s="9">
        <v>1</v>
      </c>
    </row>
    <row r="11" spans="1:16" x14ac:dyDescent="0.4">
      <c r="A11" t="s">
        <v>26</v>
      </c>
      <c r="B11">
        <v>3.1415926535000001</v>
      </c>
    </row>
    <row r="13" spans="1:16" x14ac:dyDescent="0.4">
      <c r="A13" s="4" t="s">
        <v>0</v>
      </c>
      <c r="B13" s="7">
        <v>90</v>
      </c>
      <c r="C13" s="1" t="s">
        <v>27</v>
      </c>
      <c r="I13" s="1"/>
      <c r="J13" s="1"/>
    </row>
    <row r="14" spans="1:16" x14ac:dyDescent="0.4">
      <c r="A14" s="4" t="s">
        <v>1</v>
      </c>
      <c r="B14" s="7">
        <v>0</v>
      </c>
      <c r="C14" s="1" t="s">
        <v>27</v>
      </c>
      <c r="I14" s="1"/>
      <c r="J14" s="1"/>
    </row>
    <row r="15" spans="1:16" x14ac:dyDescent="0.4">
      <c r="A15" s="4" t="s">
        <v>2</v>
      </c>
      <c r="B15" s="7">
        <v>0</v>
      </c>
      <c r="C15" s="1" t="s">
        <v>27</v>
      </c>
      <c r="J15" s="1"/>
    </row>
    <row r="17" spans="1:5" x14ac:dyDescent="0.4">
      <c r="A17" s="5" t="s">
        <v>23</v>
      </c>
      <c r="B17" s="8" t="str">
        <f>"COS("&amp;$B13&amp;" * "&amp;$B11&amp;" / 180)"</f>
        <v>COS(90 * 3.1415926535 / 180)</v>
      </c>
      <c r="C17" s="1"/>
    </row>
    <row r="18" spans="1:5" x14ac:dyDescent="0.4">
      <c r="A18" s="5" t="s">
        <v>24</v>
      </c>
      <c r="B18" s="8" t="str">
        <f>"COS("&amp;$B14&amp;" * "&amp;$B11&amp;" / 180)"</f>
        <v>COS(0 * 3.1415926535 / 180)</v>
      </c>
      <c r="C18" s="1"/>
    </row>
    <row r="19" spans="1:5" x14ac:dyDescent="0.4">
      <c r="A19" s="5" t="s">
        <v>25</v>
      </c>
      <c r="B19" s="8" t="str">
        <f>"COS("&amp;$B15&amp;" * "&amp;$B11&amp;" / 180)"</f>
        <v>COS(0 * 3.1415926535 / 180)</v>
      </c>
      <c r="C19" s="1"/>
    </row>
    <row r="20" spans="1:5" x14ac:dyDescent="0.4">
      <c r="A20" s="5" t="s">
        <v>20</v>
      </c>
      <c r="B20" s="8" t="str">
        <f>"SIN("&amp;$B13&amp;" * "&amp;$B11&amp;" / 180)"</f>
        <v>SIN(90 * 3.1415926535 / 180)</v>
      </c>
      <c r="C20" s="1"/>
    </row>
    <row r="21" spans="1:5" x14ac:dyDescent="0.4">
      <c r="A21" s="5" t="s">
        <v>21</v>
      </c>
      <c r="B21" s="8" t="str">
        <f>"SIN("&amp;$B14&amp;" * "&amp;$B11&amp;" / 180)"</f>
        <v>SIN(0 * 3.1415926535 / 180)</v>
      </c>
      <c r="C21" s="1"/>
    </row>
    <row r="22" spans="1:5" x14ac:dyDescent="0.4">
      <c r="A22" s="5" t="s">
        <v>22</v>
      </c>
      <c r="B22" s="8" t="str">
        <f>"SIN("&amp;$B15&amp;" * "&amp;$B11&amp;" / 180)"</f>
        <v>SIN(0 * 3.1415926535 / 180)</v>
      </c>
      <c r="C22" s="1"/>
    </row>
    <row r="23" spans="1:5" x14ac:dyDescent="0.4">
      <c r="A23" s="4" t="s">
        <v>3</v>
      </c>
      <c r="B23" s="7">
        <v>1</v>
      </c>
      <c r="C23" s="1"/>
    </row>
    <row r="24" spans="1:5" x14ac:dyDescent="0.4">
      <c r="A24" s="4" t="s">
        <v>4</v>
      </c>
      <c r="B24" s="7">
        <v>1</v>
      </c>
      <c r="C24" s="3"/>
    </row>
    <row r="25" spans="1:5" x14ac:dyDescent="0.4">
      <c r="A25" s="4" t="s">
        <v>5</v>
      </c>
      <c r="B25" s="7">
        <v>1</v>
      </c>
      <c r="E25" s="1"/>
    </row>
    <row r="26" spans="1:5" x14ac:dyDescent="0.4">
      <c r="A26" s="4" t="s">
        <v>6</v>
      </c>
      <c r="B26" s="7">
        <v>0</v>
      </c>
      <c r="E26" s="1"/>
    </row>
    <row r="27" spans="1:5" x14ac:dyDescent="0.4">
      <c r="A27" s="4" t="s">
        <v>7</v>
      </c>
      <c r="B27" s="7">
        <v>0</v>
      </c>
      <c r="E27" s="1"/>
    </row>
    <row r="28" spans="1:5" x14ac:dyDescent="0.4">
      <c r="A28" s="4" t="s">
        <v>8</v>
      </c>
      <c r="B28" s="7">
        <v>0</v>
      </c>
      <c r="E28" s="1"/>
    </row>
    <row r="29" spans="1:5" x14ac:dyDescent="0.4">
      <c r="A29" s="1"/>
      <c r="B29" s="1"/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ボタン2_Click">
                <anchor moveWithCells="1" sizeWithCells="1">
                  <from>
                    <xdr:col>0</xdr:col>
                    <xdr:colOff>571500</xdr:colOff>
                    <xdr:row>7</xdr:row>
                    <xdr:rowOff>76200</xdr:rowOff>
                  </from>
                  <to>
                    <xdr:col>1</xdr:col>
                    <xdr:colOff>533400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"/>
  <sheetViews>
    <sheetView workbookViewId="0"/>
  </sheetViews>
  <sheetFormatPr defaultRowHeight="18.75" x14ac:dyDescent="0.4"/>
  <sheetData/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Tsuge, Masatoshi/柘植 正俊</dc:creator>
  <cp:lastModifiedBy>柘植 正俊</cp:lastModifiedBy>
  <dcterms:created xsi:type="dcterms:W3CDTF">2021-12-22T05:34:13Z</dcterms:created>
  <dcterms:modified xsi:type="dcterms:W3CDTF">2023-03-15T09:11:56Z</dcterms:modified>
</cp:coreProperties>
</file>